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7pmMWF\"/>
    </mc:Choice>
  </mc:AlternateContent>
  <xr:revisionPtr revIDLastSave="0" documentId="13_ncr:1_{F67E67B4-3EE8-4DC1-BF81-9F4802703D33}" xr6:coauthVersionLast="47" xr6:coauthVersionMax="47" xr10:uidLastSave="{00000000-0000-0000-0000-000000000000}"/>
  <bookViews>
    <workbookView xWindow="-120" yWindow="-120" windowWidth="19440" windowHeight="13920" xr2:uid="{1FDFF287-049B-48B5-A47B-BC742A5158FA}"/>
  </bookViews>
  <sheets>
    <sheet name="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2" i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2" i="1"/>
  <c r="M2" i="1" s="1"/>
  <c r="N14" i="1" l="1"/>
  <c r="N10" i="1"/>
  <c r="N6" i="1"/>
  <c r="N13" i="1"/>
  <c r="N9" i="1"/>
  <c r="N5" i="1"/>
  <c r="N12" i="1"/>
  <c r="N8" i="1"/>
  <c r="N4" i="1"/>
  <c r="N2" i="1"/>
  <c r="N11" i="1"/>
  <c r="N7" i="1"/>
  <c r="N3" i="1"/>
</calcChain>
</file>

<file path=xl/sharedStrings.xml><?xml version="1.0" encoding="utf-8"?>
<sst xmlns="http://schemas.openxmlformats.org/spreadsheetml/2006/main" count="41" uniqueCount="40">
  <si>
    <t>Sr.#</t>
  </si>
  <si>
    <t>Student Name</t>
  </si>
  <si>
    <t>Roll #</t>
  </si>
  <si>
    <t>Email</t>
  </si>
  <si>
    <t>Basic</t>
  </si>
  <si>
    <t>Internet</t>
  </si>
  <si>
    <t>Word</t>
  </si>
  <si>
    <t>Excel</t>
  </si>
  <si>
    <t>PowerPoint</t>
  </si>
  <si>
    <t>Outlook</t>
  </si>
  <si>
    <t>OneNote</t>
  </si>
  <si>
    <t>Total Marks</t>
  </si>
  <si>
    <t>Percentage</t>
  </si>
  <si>
    <t>Grade</t>
  </si>
  <si>
    <t>Student1732754</t>
  </si>
  <si>
    <t>MUHAMMAD HARIS WAQAR</t>
  </si>
  <si>
    <t>Student1733869</t>
  </si>
  <si>
    <t>MUHAMMAD SULTAN</t>
  </si>
  <si>
    <t>ID1728849</t>
  </si>
  <si>
    <t>ABUBAKER DANISH</t>
  </si>
  <si>
    <t>ID1730545</t>
  </si>
  <si>
    <t>MUHAMMAD HAMIZ AKBAR</t>
  </si>
  <si>
    <t>ID1730546</t>
  </si>
  <si>
    <t>SYED ARHAM HUSSIN</t>
  </si>
  <si>
    <t>ID1729748</t>
  </si>
  <si>
    <t>MUHAMMAD AAZAM</t>
  </si>
  <si>
    <t>ID1729018</t>
  </si>
  <si>
    <t>HIKMATULLAH</t>
  </si>
  <si>
    <t>NP</t>
  </si>
  <si>
    <t>ARHAM ASHFAQ</t>
  </si>
  <si>
    <t>ID1729550</t>
  </si>
  <si>
    <t>AYESHA OBAIDULLAH</t>
  </si>
  <si>
    <t>ID1729569</t>
  </si>
  <si>
    <t>EMAAN AHMED</t>
  </si>
  <si>
    <t>ID1729758</t>
  </si>
  <si>
    <t>MUHAMMAD DAWOOD FAISAL</t>
  </si>
  <si>
    <t>ID1730562</t>
  </si>
  <si>
    <t>HAMMAD ABDUL REHMAN</t>
  </si>
  <si>
    <t>SALMAN HADI</t>
  </si>
  <si>
    <t>%age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</si>
</sst>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2" fillId="0" borderId="1" xfId="0" applyFont="1" applyBorder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54C1-C920-4AA9-B6CD-1A72EA80050A}">
  <dimension ref="A1:O14"/>
  <sheetViews>
    <sheetView tabSelected="1" workbookViewId="0">
      <selection activeCell="I21" sqref="I21"/>
    </sheetView>
  </sheetViews>
  <sheetFormatPr defaultRowHeight="15" x14ac:dyDescent="0.25"/>
  <cols>
    <col min="1" max="1" width="4.7109375" bestFit="1" customWidth="1"/>
    <col min="2" max="2" width="15.140625" bestFit="1" customWidth="1"/>
    <col min="3" max="3" width="28.5703125" bestFit="1" customWidth="1"/>
    <col min="4" max="4" width="6.28515625" bestFit="1" customWidth="1"/>
    <col min="5" max="5" width="5.85546875" bestFit="1" customWidth="1"/>
    <col min="6" max="6" width="9" bestFit="1" customWidth="1"/>
    <col min="7" max="7" width="6.5703125" bestFit="1" customWidth="1"/>
    <col min="8" max="8" width="5.85546875" bestFit="1" customWidth="1"/>
    <col min="9" max="9" width="12.5703125" bestFit="1" customWidth="1"/>
    <col min="10" max="10" width="9" bestFit="1" customWidth="1"/>
    <col min="11" max="11" width="9.85546875" bestFit="1" customWidth="1"/>
    <col min="12" max="12" width="12.5703125" bestFit="1" customWidth="1"/>
    <col min="13" max="13" width="7.140625" bestFit="1" customWidth="1"/>
    <col min="14" max="14" width="12" bestFit="1" customWidth="1"/>
    <col min="15" max="15" width="6.85546875" bestFit="1" customWidth="1"/>
  </cols>
  <sheetData>
    <row r="1" spans="1:15" s="4" customFormat="1" ht="15.75" x14ac:dyDescent="0.25">
      <c r="A1" s="3" t="s">
        <v>0</v>
      </c>
      <c r="B1" s="3" t="s">
        <v>2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39</v>
      </c>
      <c r="N1" s="3" t="s">
        <v>12</v>
      </c>
      <c r="O1" s="3" t="s">
        <v>13</v>
      </c>
    </row>
    <row r="2" spans="1:15" x14ac:dyDescent="0.25">
      <c r="A2" s="1">
        <v>1</v>
      </c>
      <c r="B2" s="1" t="s">
        <v>14</v>
      </c>
      <c r="C2" s="1" t="s">
        <v>15</v>
      </c>
      <c r="D2" s="1"/>
      <c r="E2" s="1">
        <v>50</v>
      </c>
      <c r="F2" s="1">
        <v>63</v>
      </c>
      <c r="G2" s="1">
        <v>72</v>
      </c>
      <c r="H2" s="1">
        <v>70</v>
      </c>
      <c r="I2" s="1">
        <v>72</v>
      </c>
      <c r="J2" s="1">
        <v>73</v>
      </c>
      <c r="K2" s="1">
        <v>74</v>
      </c>
      <c r="L2" s="1">
        <f>SUM(E2:K2)</f>
        <v>474</v>
      </c>
      <c r="M2" s="1" t="str">
        <f>ROUND(L2/(7*75)*100,2)&amp;"%"</f>
        <v>90.29%</v>
      </c>
      <c r="N2" s="2">
        <f>L2/(7*75)</f>
        <v>0.9028571428571428</v>
      </c>
      <c r="O2" s="1" t="str">
        <f>IF(N2&gt;=90%,"A1",IF(N2&gt;=80%,"A",IF(N2&gt;=70%,"B",IF(N2&gt;=60%,"C",IF(N2&gt;=50%,"D","F")))))</f>
        <v>A1</v>
      </c>
    </row>
    <row r="3" spans="1:15" x14ac:dyDescent="0.25">
      <c r="A3" s="1">
        <v>2</v>
      </c>
      <c r="B3" s="1" t="s">
        <v>16</v>
      </c>
      <c r="C3" s="1" t="s">
        <v>17</v>
      </c>
      <c r="D3" s="1"/>
      <c r="E3" s="1">
        <v>52</v>
      </c>
      <c r="F3" s="1">
        <v>74</v>
      </c>
      <c r="G3" s="1">
        <v>62</v>
      </c>
      <c r="H3" s="1">
        <v>67</v>
      </c>
      <c r="I3" s="1">
        <v>51</v>
      </c>
      <c r="J3" s="1">
        <v>66</v>
      </c>
      <c r="K3" s="1">
        <v>71</v>
      </c>
      <c r="L3" s="1">
        <f t="shared" ref="L3:L14" si="0">SUM(E3:K3)</f>
        <v>443</v>
      </c>
      <c r="M3" s="1" t="str">
        <f t="shared" ref="M3:M14" si="1">ROUND(L3/(7*75)*100,2)&amp;"%"</f>
        <v>84.38%</v>
      </c>
      <c r="N3" s="2">
        <f>L3/(7*75)</f>
        <v>0.84380952380952379</v>
      </c>
      <c r="O3" s="1" t="str">
        <f t="shared" ref="O3:O14" si="2">IF(N3&gt;=90%,"A1",IF(N3&gt;=80%,"A",IF(N3&gt;=70%,"B",IF(N3&gt;=60%,"C",IF(N3&gt;=50%,"D","F")))))</f>
        <v>A</v>
      </c>
    </row>
    <row r="4" spans="1:15" x14ac:dyDescent="0.25">
      <c r="A4" s="1">
        <v>3</v>
      </c>
      <c r="B4" s="1" t="s">
        <v>18</v>
      </c>
      <c r="C4" s="1" t="s">
        <v>19</v>
      </c>
      <c r="D4" s="1"/>
      <c r="E4" s="1">
        <v>75</v>
      </c>
      <c r="F4" s="1">
        <v>64</v>
      </c>
      <c r="G4" s="1">
        <v>62</v>
      </c>
      <c r="H4" s="1">
        <v>66</v>
      </c>
      <c r="I4" s="1">
        <v>66</v>
      </c>
      <c r="J4" s="1">
        <v>73</v>
      </c>
      <c r="K4" s="1">
        <v>68</v>
      </c>
      <c r="L4" s="1">
        <f t="shared" si="0"/>
        <v>474</v>
      </c>
      <c r="M4" s="1" t="str">
        <f t="shared" si="1"/>
        <v>90.29%</v>
      </c>
      <c r="N4" s="2">
        <f>L4/(7*75)</f>
        <v>0.9028571428571428</v>
      </c>
      <c r="O4" s="1" t="str">
        <f t="shared" si="2"/>
        <v>A1</v>
      </c>
    </row>
    <row r="5" spans="1:15" x14ac:dyDescent="0.25">
      <c r="A5" s="1">
        <v>4</v>
      </c>
      <c r="B5" s="1" t="s">
        <v>20</v>
      </c>
      <c r="C5" s="1" t="s">
        <v>21</v>
      </c>
      <c r="D5" s="1"/>
      <c r="E5" s="1">
        <v>66</v>
      </c>
      <c r="F5" s="1">
        <v>71</v>
      </c>
      <c r="G5" s="1">
        <v>61</v>
      </c>
      <c r="H5" s="1">
        <v>52</v>
      </c>
      <c r="I5" s="1">
        <v>54</v>
      </c>
      <c r="J5" s="1">
        <v>51</v>
      </c>
      <c r="K5" s="1">
        <v>67</v>
      </c>
      <c r="L5" s="1">
        <f t="shared" si="0"/>
        <v>422</v>
      </c>
      <c r="M5" s="1" t="str">
        <f t="shared" si="1"/>
        <v>80.38%</v>
      </c>
      <c r="N5" s="2">
        <f>L5/(7*75)</f>
        <v>0.80380952380952386</v>
      </c>
      <c r="O5" s="1" t="str">
        <f t="shared" si="2"/>
        <v>A</v>
      </c>
    </row>
    <row r="6" spans="1:15" x14ac:dyDescent="0.25">
      <c r="A6" s="1">
        <v>5</v>
      </c>
      <c r="B6" s="1" t="s">
        <v>22</v>
      </c>
      <c r="C6" s="1" t="s">
        <v>23</v>
      </c>
      <c r="D6" s="1"/>
      <c r="E6" s="1">
        <v>67</v>
      </c>
      <c r="F6" s="1">
        <v>73</v>
      </c>
      <c r="G6" s="1">
        <v>67</v>
      </c>
      <c r="H6" s="1">
        <v>60</v>
      </c>
      <c r="I6" s="1">
        <v>70</v>
      </c>
      <c r="J6" s="1">
        <v>57</v>
      </c>
      <c r="K6" s="1">
        <v>70</v>
      </c>
      <c r="L6" s="1">
        <f t="shared" si="0"/>
        <v>464</v>
      </c>
      <c r="M6" s="1" t="str">
        <f t="shared" si="1"/>
        <v>88.38%</v>
      </c>
      <c r="N6" s="2">
        <f>L6/(7*75)</f>
        <v>0.88380952380952382</v>
      </c>
      <c r="O6" s="1" t="str">
        <f t="shared" si="2"/>
        <v>A</v>
      </c>
    </row>
    <row r="7" spans="1:15" x14ac:dyDescent="0.25">
      <c r="A7" s="1">
        <v>6</v>
      </c>
      <c r="B7" s="1" t="s">
        <v>24</v>
      </c>
      <c r="C7" s="1" t="s">
        <v>25</v>
      </c>
      <c r="D7" s="1"/>
      <c r="E7" s="1">
        <v>72</v>
      </c>
      <c r="F7" s="1">
        <v>65</v>
      </c>
      <c r="G7" s="1">
        <v>55</v>
      </c>
      <c r="H7" s="1">
        <v>65</v>
      </c>
      <c r="I7" s="1">
        <v>50</v>
      </c>
      <c r="J7" s="1">
        <v>67</v>
      </c>
      <c r="K7" s="1">
        <v>70</v>
      </c>
      <c r="L7" s="1">
        <f t="shared" si="0"/>
        <v>444</v>
      </c>
      <c r="M7" s="1" t="str">
        <f t="shared" si="1"/>
        <v>84.57%</v>
      </c>
      <c r="N7" s="2">
        <f>L7/(7*75)</f>
        <v>0.84571428571428575</v>
      </c>
      <c r="O7" s="1" t="str">
        <f t="shared" si="2"/>
        <v>A</v>
      </c>
    </row>
    <row r="8" spans="1:15" x14ac:dyDescent="0.25">
      <c r="A8" s="1">
        <v>7</v>
      </c>
      <c r="B8" s="1" t="s">
        <v>26</v>
      </c>
      <c r="C8" s="1" t="s">
        <v>27</v>
      </c>
      <c r="D8" s="1"/>
      <c r="E8" s="1">
        <v>51</v>
      </c>
      <c r="F8" s="1">
        <v>73</v>
      </c>
      <c r="G8" s="1">
        <v>67</v>
      </c>
      <c r="H8" s="1">
        <v>58</v>
      </c>
      <c r="I8" s="1">
        <v>67</v>
      </c>
      <c r="J8" s="1">
        <v>71</v>
      </c>
      <c r="K8" s="1">
        <v>68</v>
      </c>
      <c r="L8" s="1">
        <f t="shared" si="0"/>
        <v>455</v>
      </c>
      <c r="M8" s="1" t="str">
        <f t="shared" si="1"/>
        <v>86.67%</v>
      </c>
      <c r="N8" s="2">
        <f>L8/(7*75)</f>
        <v>0.8666666666666667</v>
      </c>
      <c r="O8" s="1" t="str">
        <f t="shared" si="2"/>
        <v>A</v>
      </c>
    </row>
    <row r="9" spans="1:15" x14ac:dyDescent="0.25">
      <c r="A9" s="1">
        <v>8</v>
      </c>
      <c r="B9" s="1" t="s">
        <v>28</v>
      </c>
      <c r="C9" s="1" t="s">
        <v>29</v>
      </c>
      <c r="D9" s="1"/>
      <c r="E9" s="1">
        <v>51</v>
      </c>
      <c r="F9" s="1">
        <v>55</v>
      </c>
      <c r="G9" s="1">
        <v>51</v>
      </c>
      <c r="H9" s="1">
        <v>58</v>
      </c>
      <c r="I9" s="1">
        <v>52</v>
      </c>
      <c r="J9" s="1">
        <v>53</v>
      </c>
      <c r="K9" s="1">
        <v>68</v>
      </c>
      <c r="L9" s="1">
        <f t="shared" si="0"/>
        <v>388</v>
      </c>
      <c r="M9" s="1" t="str">
        <f t="shared" si="1"/>
        <v>73.9%</v>
      </c>
      <c r="N9" s="2">
        <f>L9/(7*75)</f>
        <v>0.73904761904761906</v>
      </c>
      <c r="O9" s="1" t="str">
        <f t="shared" si="2"/>
        <v>B</v>
      </c>
    </row>
    <row r="10" spans="1:15" x14ac:dyDescent="0.25">
      <c r="A10" s="1">
        <v>9</v>
      </c>
      <c r="B10" s="1" t="s">
        <v>30</v>
      </c>
      <c r="C10" s="1" t="s">
        <v>31</v>
      </c>
      <c r="D10" s="1"/>
      <c r="E10" s="1">
        <v>56</v>
      </c>
      <c r="F10" s="1">
        <v>69</v>
      </c>
      <c r="G10" s="1">
        <v>57</v>
      </c>
      <c r="H10" s="1">
        <v>74</v>
      </c>
      <c r="I10" s="1">
        <v>62</v>
      </c>
      <c r="J10" s="1">
        <v>72</v>
      </c>
      <c r="K10" s="1">
        <v>65</v>
      </c>
      <c r="L10" s="1">
        <f t="shared" si="0"/>
        <v>455</v>
      </c>
      <c r="M10" s="1" t="str">
        <f t="shared" si="1"/>
        <v>86.67%</v>
      </c>
      <c r="N10" s="2">
        <f>L10/(7*75)</f>
        <v>0.8666666666666667</v>
      </c>
      <c r="O10" s="1" t="str">
        <f t="shared" si="2"/>
        <v>A</v>
      </c>
    </row>
    <row r="11" spans="1:15" x14ac:dyDescent="0.25">
      <c r="A11" s="1">
        <v>10</v>
      </c>
      <c r="B11" s="1" t="s">
        <v>32</v>
      </c>
      <c r="C11" s="1" t="s">
        <v>33</v>
      </c>
      <c r="D11" s="1"/>
      <c r="E11" s="1">
        <v>56</v>
      </c>
      <c r="F11" s="1">
        <v>65</v>
      </c>
      <c r="G11" s="1">
        <v>56</v>
      </c>
      <c r="H11" s="1">
        <v>58</v>
      </c>
      <c r="I11" s="1">
        <v>67</v>
      </c>
      <c r="J11" s="1">
        <v>67</v>
      </c>
      <c r="K11" s="1">
        <v>60</v>
      </c>
      <c r="L11" s="1">
        <f t="shared" si="0"/>
        <v>429</v>
      </c>
      <c r="M11" s="1" t="str">
        <f t="shared" si="1"/>
        <v>81.71%</v>
      </c>
      <c r="N11" s="2">
        <f>L11/(7*75)</f>
        <v>0.81714285714285717</v>
      </c>
      <c r="O11" s="1" t="str">
        <f t="shared" si="2"/>
        <v>A</v>
      </c>
    </row>
    <row r="12" spans="1:15" x14ac:dyDescent="0.25">
      <c r="A12" s="1">
        <v>11</v>
      </c>
      <c r="B12" s="1" t="s">
        <v>34</v>
      </c>
      <c r="C12" s="1" t="s">
        <v>35</v>
      </c>
      <c r="D12" s="1"/>
      <c r="E12" s="1">
        <v>60</v>
      </c>
      <c r="F12" s="1">
        <v>61</v>
      </c>
      <c r="G12" s="1">
        <v>63</v>
      </c>
      <c r="H12" s="1">
        <v>61</v>
      </c>
      <c r="I12" s="1">
        <v>69</v>
      </c>
      <c r="J12" s="1">
        <v>74</v>
      </c>
      <c r="K12" s="1">
        <v>68</v>
      </c>
      <c r="L12" s="1">
        <f t="shared" si="0"/>
        <v>456</v>
      </c>
      <c r="M12" s="1" t="str">
        <f t="shared" si="1"/>
        <v>86.86%</v>
      </c>
      <c r="N12" s="2">
        <f>L12/(7*75)</f>
        <v>0.86857142857142855</v>
      </c>
      <c r="O12" s="1" t="str">
        <f t="shared" si="2"/>
        <v>A</v>
      </c>
    </row>
    <row r="13" spans="1:15" x14ac:dyDescent="0.25">
      <c r="A13" s="1">
        <v>12</v>
      </c>
      <c r="B13" s="1" t="s">
        <v>36</v>
      </c>
      <c r="C13" s="1" t="s">
        <v>37</v>
      </c>
      <c r="D13" s="1"/>
      <c r="E13" s="1">
        <v>71</v>
      </c>
      <c r="F13" s="1">
        <v>54</v>
      </c>
      <c r="G13" s="1">
        <v>58</v>
      </c>
      <c r="H13" s="1">
        <v>66</v>
      </c>
      <c r="I13" s="1">
        <v>62</v>
      </c>
      <c r="J13" s="1">
        <v>51</v>
      </c>
      <c r="K13" s="1">
        <v>62</v>
      </c>
      <c r="L13" s="1">
        <f t="shared" si="0"/>
        <v>424</v>
      </c>
      <c r="M13" s="1" t="str">
        <f t="shared" si="1"/>
        <v>80.76%</v>
      </c>
      <c r="N13" s="2">
        <f>L13/(7*75)</f>
        <v>0.80761904761904757</v>
      </c>
      <c r="O13" s="1" t="str">
        <f t="shared" si="2"/>
        <v>A</v>
      </c>
    </row>
    <row r="14" spans="1:15" x14ac:dyDescent="0.25">
      <c r="A14" s="1">
        <v>13</v>
      </c>
      <c r="B14" s="1" t="s">
        <v>28</v>
      </c>
      <c r="C14" s="1" t="s">
        <v>38</v>
      </c>
      <c r="D14" s="1"/>
      <c r="E14" s="1">
        <v>64</v>
      </c>
      <c r="F14" s="1">
        <v>64</v>
      </c>
      <c r="G14" s="1">
        <v>58</v>
      </c>
      <c r="H14" s="1">
        <v>54</v>
      </c>
      <c r="I14" s="1">
        <v>75</v>
      </c>
      <c r="J14" s="1">
        <v>70</v>
      </c>
      <c r="K14" s="1">
        <v>59</v>
      </c>
      <c r="L14" s="1">
        <f t="shared" si="0"/>
        <v>444</v>
      </c>
      <c r="M14" s="1" t="str">
        <f t="shared" si="1"/>
        <v>84.57%</v>
      </c>
      <c r="N14" s="2">
        <f>L14/(7*75)</f>
        <v>0.84571428571428575</v>
      </c>
      <c r="O14" s="1" t="str">
        <f t="shared" si="2"/>
        <v>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Hussain</dc:creator>
  <cp:lastModifiedBy>Syed Hussain</cp:lastModifiedBy>
  <dcterms:created xsi:type="dcterms:W3CDTF">2026-09-09T14:20:57Z</dcterms:created>
  <dcterms:modified xsi:type="dcterms:W3CDTF">2026-09-09T14:32:17Z</dcterms:modified>
</cp:coreProperties>
</file>